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文档\公式检验系列\"/>
    </mc:Choice>
  </mc:AlternateContent>
  <xr:revisionPtr revIDLastSave="0" documentId="13_ncr:1_{2028FF2D-6DB1-4CF8-9832-FFF794D59031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使用说明" sheetId="10" r:id="rId1"/>
    <sheet name="功能介绍" sheetId="12" r:id="rId2"/>
    <sheet name="编码" sheetId="13" r:id="rId3"/>
  </sheets>
  <functionGroups builtInGroupCount="19"/>
  <definedNames>
    <definedName name="_xlnm._FilterDatabase" localSheetId="1" hidden="1">功能介绍!#REF!</definedName>
    <definedName name="_xlnm._FilterDatabase" localSheetId="0" hidden="1">使用说明!#REF!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2" l="1"/>
  <c r="D14" i="12"/>
  <c r="D13" i="12"/>
  <c r="D11" i="12"/>
  <c r="D8" i="12"/>
  <c r="D15" i="12"/>
  <c r="D4" i="12"/>
  <c r="D6" i="12"/>
  <c r="D10" i="12"/>
  <c r="D3" i="12"/>
  <c r="D5" i="12"/>
  <c r="D2" i="12"/>
  <c r="D7" i="12"/>
  <c r="D9" i="12"/>
  <c r="D16" i="12"/>
</calcChain>
</file>

<file path=xl/sharedStrings.xml><?xml version="1.0" encoding="utf-8"?>
<sst xmlns="http://schemas.openxmlformats.org/spreadsheetml/2006/main" count="104" uniqueCount="73">
  <si>
    <t>U R S R2 S2 R U' R' S2 R2 S' R'</t>
    <phoneticPr fontId="1" type="noConversion"/>
  </si>
  <si>
    <t>R' U R U' R' U R D' R' U' R U R' U' R D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</si>
  <si>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</si>
  <si>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</si>
  <si>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</si>
  <si>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</si>
  <si>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t>U' D R2 D' R2 U R D R' D' R U' R' U R'</t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</si>
  <si>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</si>
  <si>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</si>
  <si>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</si>
  <si>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</si>
  <si>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Made by Crick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</si>
  <si>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</si>
  <si>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</si>
  <si>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commutator</t>
    <phoneticPr fontId="1" type="noConversion"/>
  </si>
  <si>
    <t>format</t>
    <phoneticPr fontId="1" type="noConversion"/>
  </si>
  <si>
    <t>R'FRS'R'FRS  R ' F 2 R</t>
    <phoneticPr fontId="1" type="noConversion"/>
  </si>
  <si>
    <t>写成转换机模式</t>
    <phoneticPr fontId="1" type="noConversion"/>
  </si>
  <si>
    <t>功能描述</t>
    <phoneticPr fontId="1" type="noConversion"/>
  </si>
  <si>
    <t>原始公式</t>
    <phoneticPr fontId="1" type="noConversion"/>
  </si>
  <si>
    <t>函数名</t>
    <phoneticPr fontId="1" type="noConversion"/>
  </si>
  <si>
    <t>混合</t>
    <phoneticPr fontId="1" type="noConversion"/>
  </si>
  <si>
    <t>steps</t>
    <phoneticPr fontId="1" type="noConversion"/>
  </si>
  <si>
    <t>描述公式对于棱的效果</t>
    <phoneticPr fontId="1" type="noConversion"/>
  </si>
  <si>
    <t>描述公式对于角的效果</t>
    <phoneticPr fontId="1" type="noConversion"/>
  </si>
  <si>
    <t>描述做完公式后如何读棱</t>
    <phoneticPr fontId="1" type="noConversion"/>
  </si>
  <si>
    <t>描述做完公式后如何读角</t>
    <phoneticPr fontId="1" type="noConversion"/>
  </si>
  <si>
    <t>取公式步数</t>
    <phoneticPr fontId="1" type="noConversion"/>
  </si>
  <si>
    <t>整理成带空格的格式</t>
    <phoneticPr fontId="1" type="noConversion"/>
  </si>
  <si>
    <t>当前版本备注信息</t>
    <phoneticPr fontId="1" type="noConversion"/>
  </si>
  <si>
    <t>https://jingyan.baidu.com/article/84b4f565bd8fa060f6da32a7.html</t>
    <phoneticPr fontId="1" type="noConversion"/>
  </si>
  <si>
    <t>https://jingyan.baidu.com/article/335530dae8002b19cb41c31f.html</t>
    <phoneticPr fontId="1" type="noConversion"/>
  </si>
  <si>
    <t>Excel 英文版用户可参考网页：</t>
    <phoneticPr fontId="1" type="noConversion"/>
  </si>
  <si>
    <t xml:space="preserve">无法开启宏？
Excel 中文版用户可参考网页：
</t>
    <phoneticPr fontId="1" type="noConversion"/>
  </si>
  <si>
    <r>
      <t>说明：本excel可以用来检验公式的正确性，适用于office和wps专业版用户，</t>
    </r>
    <r>
      <rPr>
        <sz val="12"/>
        <color rgb="FFFF0000"/>
        <rFont val="微软雅黑"/>
        <family val="2"/>
        <charset val="134"/>
      </rPr>
      <t>使用前请先启用宏</t>
    </r>
    <r>
      <rPr>
        <sz val="12"/>
        <color theme="1"/>
        <rFont val="微软雅黑"/>
        <family val="2"/>
        <charset val="134"/>
      </rPr>
      <t>。</t>
    </r>
    <phoneticPr fontId="1" type="noConversion"/>
  </si>
  <si>
    <t>R B' R' S R' F R S' R' F' R2 B R'</t>
    <phoneticPr fontId="1" type="noConversion"/>
  </si>
  <si>
    <t>R U D R' D R U2 R' D' R D' U R'</t>
    <phoneticPr fontId="1" type="noConversion"/>
  </si>
  <si>
    <r>
      <t>不管给出的公式带空格或没空格，都整理成带空格的清爽格式。</t>
    </r>
    <r>
      <rPr>
        <sz val="11"/>
        <color rgb="FFFF0000"/>
        <rFont val="微软雅黑"/>
        <family val="2"/>
        <charset val="134"/>
      </rPr>
      <t>后面所有的函数都需要这种格式</t>
    </r>
    <phoneticPr fontId="1" type="noConversion"/>
  </si>
  <si>
    <t>调用对应函数后显示的值</t>
    <phoneticPr fontId="1" type="noConversion"/>
  </si>
  <si>
    <t>C</t>
    <phoneticPr fontId="17" type="noConversion"/>
  </si>
  <si>
    <t>A</t>
    <phoneticPr fontId="17" type="noConversion"/>
  </si>
  <si>
    <t>G</t>
    <phoneticPr fontId="17" type="noConversion"/>
  </si>
  <si>
    <t>Q</t>
    <phoneticPr fontId="17" type="noConversion"/>
  </si>
  <si>
    <t>U</t>
    <phoneticPr fontId="17" type="noConversion"/>
  </si>
  <si>
    <t>X</t>
    <phoneticPr fontId="17" type="noConversion"/>
  </si>
  <si>
    <t>L</t>
    <phoneticPr fontId="17" type="noConversion"/>
  </si>
  <si>
    <t>T</t>
    <phoneticPr fontId="17" type="noConversion"/>
  </si>
  <si>
    <t>S</t>
    <phoneticPr fontId="17" type="noConversion"/>
  </si>
  <si>
    <t>F</t>
    <phoneticPr fontId="17" type="noConversion"/>
  </si>
  <si>
    <t>E</t>
    <phoneticPr fontId="17" type="noConversion"/>
  </si>
  <si>
    <t>R</t>
    <phoneticPr fontId="17" type="noConversion"/>
  </si>
  <si>
    <t>Z</t>
    <phoneticPr fontId="17" type="noConversion"/>
  </si>
  <si>
    <t>Y</t>
    <phoneticPr fontId="17" type="noConversion"/>
  </si>
  <si>
    <t>B</t>
    <phoneticPr fontId="17" type="noConversion"/>
  </si>
  <si>
    <t>W</t>
    <phoneticPr fontId="17" type="noConversion"/>
  </si>
  <si>
    <t>D</t>
    <phoneticPr fontId="17" type="noConversion"/>
  </si>
  <si>
    <t>H</t>
    <phoneticPr fontId="17" type="noConversion"/>
  </si>
  <si>
    <t>P</t>
    <phoneticPr fontId="17" type="noConversion"/>
  </si>
  <si>
    <t>J</t>
    <phoneticPr fontId="17" type="noConversion"/>
  </si>
  <si>
    <t>N</t>
    <phoneticPr fontId="17" type="noConversion"/>
  </si>
  <si>
    <t>I</t>
    <phoneticPr fontId="17" type="noConversion"/>
  </si>
  <si>
    <t>K</t>
    <phoneticPr fontId="17" type="noConversion"/>
  </si>
  <si>
    <t>O</t>
    <phoneticPr fontId="17" type="noConversion"/>
  </si>
  <si>
    <t>M</t>
    <phoneticPr fontId="17" type="noConversion"/>
  </si>
  <si>
    <t>编码</t>
  </si>
  <si>
    <r>
      <t xml:space="preserve">用户指南：
目前已有的函数主要包括 edge,corner,edgefull,cornerfull,inverse,steps,commutator,format
调用函数的方法  </t>
    </r>
    <r>
      <rPr>
        <sz val="12"/>
        <color rgb="FFFF0000"/>
        <rFont val="微软雅黑"/>
        <family val="2"/>
        <charset val="134"/>
      </rPr>
      <t>=函数名（单元格索引）</t>
    </r>
    <r>
      <rPr>
        <sz val="12"/>
        <color theme="1"/>
        <rFont val="微软雅黑"/>
        <family val="2"/>
        <charset val="134"/>
      </rPr>
      <t xml:space="preserve">
举例：如果想得到某条公式的转换机格式，从第二个工作表“功能介绍”里可以查看到，需要写成转换机格式的公式在单元格索引为C11的位置，则只需要在其他空白单元格里输入 </t>
    </r>
    <r>
      <rPr>
        <sz val="12"/>
        <color rgb="FFFF0000"/>
        <rFont val="微软雅黑"/>
        <family val="2"/>
        <charset val="134"/>
      </rPr>
      <t>=commutator(C11)</t>
    </r>
    <r>
      <rPr>
        <sz val="12"/>
        <color theme="1"/>
        <rFont val="微软雅黑"/>
        <family val="2"/>
        <charset val="134"/>
      </rPr>
      <t>，然后回车，则当前输入的单元格就能刷新成调用函数之后的值。</t>
    </r>
    <r>
      <rPr>
        <sz val="12"/>
        <color rgb="FFFF0000"/>
        <rFont val="微软雅黑"/>
        <family val="2"/>
        <charset val="134"/>
      </rPr>
      <t>也可以直接双击“功能介绍”表格“调用对应函数之后显示的值”那一列的某个单元格，就能清晰的了解如何调用函数了。</t>
    </r>
    <r>
      <rPr>
        <sz val="12"/>
        <color theme="1"/>
        <rFont val="微软雅黑"/>
        <family val="2"/>
        <charset val="134"/>
      </rPr>
      <t xml:space="preserve">
</t>
    </r>
    <r>
      <rPr>
        <sz val="12"/>
        <color rgb="FFFF0000"/>
        <rFont val="微软雅黑"/>
        <family val="2"/>
        <charset val="134"/>
      </rPr>
      <t>特殊情况：当调用corner,edge这两个函数检验公式的时候，由于缓冲块的存在，则需要再加上英文状态的逗号，多输入一个缓冲编码，且这个编码必须用英文状态下的双引号包裹起来，例如“=edge(C3,"A")”可以检验缓冲编码为A的某条公式。</t>
    </r>
    <phoneticPr fontId="1" type="noConversion"/>
  </si>
  <si>
    <t>转换机的set up步骤</t>
    <phoneticPr fontId="1" type="noConversion"/>
  </si>
  <si>
    <t>转换机的A步骤</t>
    <phoneticPr fontId="1" type="noConversion"/>
  </si>
  <si>
    <t>转换机的B步骤</t>
    <phoneticPr fontId="1" type="noConversion"/>
  </si>
  <si>
    <t>commutator_C</t>
    <phoneticPr fontId="1" type="noConversion"/>
  </si>
  <si>
    <t>commutator_A</t>
    <phoneticPr fontId="1" type="noConversion"/>
  </si>
  <si>
    <t>commutator_B</t>
    <phoneticPr fontId="1" type="noConversion"/>
  </si>
  <si>
    <t>目前只适合对单转换机运用这三个函数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</si>
</sst>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sz val="14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Tahoma"/>
      <family val="2"/>
    </font>
    <font>
      <sz val="14"/>
      <color theme="1"/>
      <name val="Tahoma"/>
      <family val="2"/>
    </font>
    <font>
      <sz val="11"/>
      <color rgb="FFFF0000"/>
      <name val="微软雅黑"/>
      <family val="2"/>
      <charset val="134"/>
    </font>
    <font>
      <sz val="14"/>
      <name val="Tahoma"/>
      <family val="2"/>
    </font>
    <font>
      <sz val="9"/>
      <name val="宋体"/>
      <family val="3"/>
      <charset val="134"/>
    </font>
    <font>
      <sz val="36"/>
      <color theme="1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99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>
      <alignment vertical="center"/>
    </xf>
    <xf numFmtId="0" fontId="4" fillId="0" borderId="0"/>
    <xf numFmtId="0" fontId="5" fillId="0" borderId="0">
      <alignment vertical="center"/>
    </xf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8" fillId="0" borderId="2" xfId="0" applyNumberFormat="1" applyFont="1" applyBorder="1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5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8" fillId="0" borderId="2" xfId="0" applyNumberFormat="1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1" fillId="0" borderId="0" xfId="4" applyFont="1" applyAlignment="1"/>
    <xf numFmtId="0" fontId="7" fillId="0" borderId="0" xfId="0" applyFont="1" applyAlignment="1"/>
    <xf numFmtId="0" fontId="11" fillId="0" borderId="4" xfId="4" applyFont="1" applyBorder="1" applyAlignment="1">
      <alignment horizontal="left" vertical="top" wrapText="1"/>
    </xf>
    <xf numFmtId="0" fontId="8" fillId="0" borderId="0" xfId="0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5">
    <cellStyle name="常规" xfId="0" builtinId="0"/>
    <cellStyle name="常规 2" xfId="1" xr:uid="{00000000-0005-0000-0000-000001000000}"/>
    <cellStyle name="常规 3" xfId="2" xr:uid="{00000000-0005-0000-0000-000002000000}"/>
    <cellStyle name="常规 4" xfId="3" xr:uid="{00000000-0005-0000-0000-000003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0</xdr:row>
      <xdr:rowOff>25400</xdr:rowOff>
    </xdr:from>
    <xdr:to>
      <xdr:col>3</xdr:col>
      <xdr:colOff>2784475</xdr:colOff>
      <xdr:row>1</xdr:row>
      <xdr:rowOff>139700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6850" y="25400"/>
          <a:ext cx="2720975" cy="29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jingyan.baidu.com/article/335530dae8002b19cb41c31f.html" TargetMode="External"/><Relationship Id="rId1" Type="http://schemas.openxmlformats.org/officeDocument/2006/relationships/hyperlink" Target="https://jingyan.baidu.com/article/84b4f565bd8fa060f6da32a7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6"/>
  <sheetViews>
    <sheetView tabSelected="1" workbookViewId="0">
      <selection sqref="A1:C2"/>
    </sheetView>
  </sheetViews>
  <sheetFormatPr defaultRowHeight="18" x14ac:dyDescent="0.3"/>
  <cols>
    <col min="1" max="1" width="28.33203125" customWidth="1"/>
    <col min="2" max="2" width="27.08203125" style="1" bestFit="1" customWidth="1"/>
    <col min="3" max="3" width="46.25" style="1" customWidth="1"/>
    <col min="4" max="4" width="36.58203125" customWidth="1"/>
  </cols>
  <sheetData>
    <row r="1" spans="1:4" ht="14" x14ac:dyDescent="0.3">
      <c r="A1" s="34" t="s">
        <v>34</v>
      </c>
      <c r="B1" s="34"/>
      <c r="C1" s="34"/>
      <c r="D1" s="2"/>
    </row>
    <row r="2" spans="1:4" ht="14" x14ac:dyDescent="0.3">
      <c r="A2" s="34"/>
      <c r="B2" s="34"/>
      <c r="C2" s="34"/>
      <c r="D2" s="2"/>
    </row>
    <row r="3" spans="1:4" ht="34" customHeight="1" x14ac:dyDescent="0.45">
      <c r="A3" s="7" t="s">
        <v>33</v>
      </c>
      <c r="B3" s="31" t="s">
        <v>30</v>
      </c>
      <c r="C3" s="32"/>
      <c r="D3" s="32"/>
    </row>
    <row r="4" spans="1:4" ht="16.5" customHeight="1" x14ac:dyDescent="0.3">
      <c r="A4" s="7" t="s">
        <v>32</v>
      </c>
      <c r="B4" s="33" t="s">
        <v>31</v>
      </c>
      <c r="C4" s="33"/>
      <c r="D4" s="33"/>
    </row>
    <row r="5" spans="1:4" ht="140.5" customHeight="1" x14ac:dyDescent="0.3">
      <c r="A5" s="29" t="s">
        <v>65</v>
      </c>
      <c r="B5" s="30"/>
      <c r="C5" s="30"/>
      <c r="D5" s="30"/>
    </row>
    <row r="6" spans="1:4" x14ac:dyDescent="0.3">
      <c r="C6"/>
      <c r="D6" s="8" t="s">
        <v>11</v>
      </c>
    </row>
  </sheetData>
  <mergeCells count="4">
    <mergeCell ref="A5:D5"/>
    <mergeCell ref="B3:D3"/>
    <mergeCell ref="B4:D4"/>
    <mergeCell ref="A1:C2"/>
  </mergeCells>
  <phoneticPr fontId="1" type="noConversion"/>
  <hyperlinks>
    <hyperlink ref="B3" r:id="rId1" xr:uid="{984E6D21-89E5-492B-A83B-4C3CF3ADEE3F}"/>
    <hyperlink ref="B4" r:id="rId2" xr:uid="{3F3998F1-D75A-43CE-910E-511AADF11D32}"/>
  </hyperlinks>
  <pageMargins left="0.7" right="0.7" top="0.75" bottom="0.75" header="0.3" footer="0.3"/>
  <pageSetup paperSize="9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70E5-79C4-48EB-A121-AEF96851D21D}">
  <sheetPr codeName="Sheet4"/>
  <dimension ref="A1:E16"/>
  <sheetViews>
    <sheetView workbookViewId="0"/>
  </sheetViews>
  <sheetFormatPr defaultRowHeight="18" x14ac:dyDescent="0.3"/>
  <cols>
    <col min="1" max="1" width="14.58203125" bestFit="1" customWidth="1"/>
    <col min="2" max="2" width="27.08203125" style="1" bestFit="1" customWidth="1"/>
    <col min="3" max="3" width="41.4140625" style="1" customWidth="1"/>
    <col min="4" max="4" width="30.83203125" customWidth="1"/>
    <col min="5" max="5" width="39.58203125" customWidth="1"/>
  </cols>
  <sheetData>
    <row r="1" spans="1:5" ht="21.5" x14ac:dyDescent="0.3">
      <c r="A1" s="11" t="s">
        <v>20</v>
      </c>
      <c r="B1" s="11" t="s">
        <v>18</v>
      </c>
      <c r="C1" s="11" t="s">
        <v>19</v>
      </c>
      <c r="D1" s="11" t="s">
        <v>38</v>
      </c>
      <c r="E1" s="11" t="s">
        <v>29</v>
      </c>
    </row>
    <row r="2" spans="1:5" ht="32" customHeight="1" x14ac:dyDescent="0.3">
      <c r="A2" s="14" t="s">
        <v>15</v>
      </c>
      <c r="B2" s="6" t="s">
        <v>28</v>
      </c>
      <c r="C2" s="17" t="s">
        <v>16</v>
      </c>
      <c r="D2" s="17" t="str">
        <f>format(C2)</f>
        <v>R' F R S' R' F R S R' F2 R</v>
      </c>
      <c r="E2" s="10" t="s">
        <v>37</v>
      </c>
    </row>
    <row r="3" spans="1:5" ht="18.75" customHeight="1" x14ac:dyDescent="0.3">
      <c r="A3" s="12" t="s">
        <v>2</v>
      </c>
      <c r="B3" s="5" t="s">
        <v>23</v>
      </c>
      <c r="C3" s="15" t="s">
        <v>35</v>
      </c>
      <c r="D3" s="15" t="str">
        <f>edge(C3,"A")</f>
        <v>CE</v>
      </c>
      <c r="E3" s="37"/>
    </row>
    <row r="4" spans="1:5" ht="19" x14ac:dyDescent="0.3">
      <c r="A4" s="12" t="s">
        <v>3</v>
      </c>
      <c r="B4" s="5" t="s">
        <v>24</v>
      </c>
      <c r="C4" s="15" t="s">
        <v>36</v>
      </c>
      <c r="D4" s="15" t="str">
        <f>corner(C4,"J")</f>
        <v>BQ</v>
      </c>
      <c r="E4" s="37"/>
    </row>
    <row r="5" spans="1:5" ht="17.5" x14ac:dyDescent="0.3">
      <c r="A5" s="38" t="s">
        <v>4</v>
      </c>
      <c r="B5" s="35" t="s">
        <v>25</v>
      </c>
      <c r="C5" s="16" t="s">
        <v>0</v>
      </c>
      <c r="D5" s="16" t="str">
        <f>edgefull(C5)</f>
        <v>ABACDC</v>
      </c>
      <c r="E5" s="3"/>
    </row>
    <row r="6" spans="1:5" ht="17.5" x14ac:dyDescent="0.3">
      <c r="A6" s="38"/>
      <c r="B6" s="35"/>
      <c r="C6" s="16" t="s">
        <v>10</v>
      </c>
      <c r="D6" s="16" t="str">
        <f>edgefull(C6)</f>
        <v>AQECA</v>
      </c>
      <c r="E6" s="3"/>
    </row>
    <row r="7" spans="1:5" ht="17.5" x14ac:dyDescent="0.3">
      <c r="A7" s="38" t="s">
        <v>5</v>
      </c>
      <c r="B7" s="35" t="s">
        <v>26</v>
      </c>
      <c r="C7" s="16" t="s">
        <v>1</v>
      </c>
      <c r="D7" s="16" t="str">
        <f>cornerfull(C7)</f>
        <v>OPQORTSR</v>
      </c>
      <c r="E7" s="3"/>
    </row>
    <row r="8" spans="1:5" ht="17.5" x14ac:dyDescent="0.3">
      <c r="A8" s="38"/>
      <c r="B8" s="35"/>
      <c r="C8" s="16" t="s">
        <v>10</v>
      </c>
      <c r="D8" s="16" t="str">
        <f>cornerfull(C8)</f>
        <v>AYLDA</v>
      </c>
      <c r="E8" s="3"/>
    </row>
    <row r="9" spans="1:5" ht="19" x14ac:dyDescent="0.3">
      <c r="A9" s="13" t="s">
        <v>8</v>
      </c>
      <c r="B9" s="9" t="s">
        <v>9</v>
      </c>
      <c r="C9" s="16" t="s">
        <v>13</v>
      </c>
      <c r="D9" s="16" t="str">
        <f>inverse(C9)</f>
        <v>D R U R' D' R U' R'</v>
      </c>
      <c r="E9" s="3"/>
    </row>
    <row r="10" spans="1:5" ht="19" x14ac:dyDescent="0.3">
      <c r="A10" s="18" t="s">
        <v>22</v>
      </c>
      <c r="B10" s="19" t="s">
        <v>27</v>
      </c>
      <c r="C10" s="20" t="s">
        <v>12</v>
      </c>
      <c r="D10" s="20">
        <f>steps(C10)</f>
        <v>14</v>
      </c>
      <c r="E10" s="21"/>
    </row>
    <row r="11" spans="1:5" ht="19" x14ac:dyDescent="0.3">
      <c r="A11" s="12" t="s">
        <v>14</v>
      </c>
      <c r="B11" s="5" t="s">
        <v>17</v>
      </c>
      <c r="C11" s="41" t="s">
        <v>12</v>
      </c>
      <c r="D11" s="15" t="str">
        <f>commutator(C11)</f>
        <v>U2 R U':[D',R' U R]</v>
      </c>
      <c r="E11" s="3"/>
    </row>
    <row r="12" spans="1:5" ht="19" x14ac:dyDescent="0.3">
      <c r="A12" s="12" t="s">
        <v>69</v>
      </c>
      <c r="B12" s="5" t="s">
        <v>66</v>
      </c>
      <c r="C12" s="42"/>
      <c r="D12" s="5" t="str">
        <f>commutator_C(C11)</f>
        <v>U2 R U'</v>
      </c>
      <c r="E12" s="44" t="s">
        <v>72</v>
      </c>
    </row>
    <row r="13" spans="1:5" ht="19" x14ac:dyDescent="0.3">
      <c r="A13" s="12" t="s">
        <v>70</v>
      </c>
      <c r="B13" s="5" t="s">
        <v>67</v>
      </c>
      <c r="C13" s="42"/>
      <c r="D13" s="15" t="str">
        <f>commutator_A(C11)</f>
        <v>D'</v>
      </c>
      <c r="E13" s="45"/>
    </row>
    <row r="14" spans="1:5" ht="19" x14ac:dyDescent="0.3">
      <c r="A14" s="12" t="s">
        <v>71</v>
      </c>
      <c r="B14" s="5" t="s">
        <v>68</v>
      </c>
      <c r="C14" s="43"/>
      <c r="D14" s="15" t="str">
        <f>commutator_B(C11)</f>
        <v>R' U R</v>
      </c>
      <c r="E14" s="46"/>
    </row>
    <row r="15" spans="1:5" ht="17.5" x14ac:dyDescent="0.3">
      <c r="A15" s="35" t="s">
        <v>21</v>
      </c>
      <c r="B15" s="35" t="s">
        <v>7</v>
      </c>
      <c r="C15" s="36" t="s">
        <v>6</v>
      </c>
      <c r="D15" s="16" t="str">
        <f>edgefull(C15)</f>
        <v>AGA</v>
      </c>
      <c r="E15" s="3"/>
    </row>
    <row r="16" spans="1:5" ht="17" customHeight="1" x14ac:dyDescent="0.3">
      <c r="A16" s="35"/>
      <c r="B16" s="35"/>
      <c r="C16" s="36"/>
      <c r="D16" s="16" t="str">
        <f>cornerfull(C15)</f>
        <v>AJA</v>
      </c>
      <c r="E16" s="4"/>
    </row>
  </sheetData>
  <mergeCells count="10">
    <mergeCell ref="A15:A16"/>
    <mergeCell ref="B15:B16"/>
    <mergeCell ref="C15:C16"/>
    <mergeCell ref="E3:E4"/>
    <mergeCell ref="A5:A6"/>
    <mergeCell ref="B5:B6"/>
    <mergeCell ref="A7:A8"/>
    <mergeCell ref="B7:B8"/>
    <mergeCell ref="C11:C14"/>
    <mergeCell ref="E12:E14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314F-E1E8-4886-BC6C-F4DB4682F325}">
  <sheetPr codeName="Sheet1"/>
  <dimension ref="B2:M15"/>
  <sheetViews>
    <sheetView workbookViewId="0"/>
  </sheetViews>
  <sheetFormatPr defaultRowHeight="14" x14ac:dyDescent="0.3"/>
  <cols>
    <col min="2" max="5" width="3.75" style="23"/>
    <col min="6" max="6" width="3.75" style="23" customWidth="1"/>
    <col min="7" max="13" width="3.75" style="23"/>
  </cols>
  <sheetData>
    <row r="2" spans="2:13" x14ac:dyDescent="0.3">
      <c r="D2" s="39" t="s">
        <v>64</v>
      </c>
      <c r="E2" s="40"/>
      <c r="F2" s="40"/>
      <c r="G2" s="40"/>
      <c r="H2" s="40"/>
    </row>
    <row r="3" spans="2:13" x14ac:dyDescent="0.3">
      <c r="D3" s="40"/>
      <c r="E3" s="40"/>
      <c r="F3" s="40"/>
      <c r="G3" s="40"/>
      <c r="H3" s="40"/>
    </row>
    <row r="4" spans="2:13" x14ac:dyDescent="0.3">
      <c r="B4"/>
      <c r="C4"/>
      <c r="D4" s="40"/>
      <c r="E4" s="40"/>
      <c r="F4" s="40"/>
      <c r="G4" s="40"/>
      <c r="H4" s="40"/>
      <c r="I4"/>
      <c r="J4"/>
      <c r="K4"/>
      <c r="L4"/>
      <c r="M4"/>
    </row>
    <row r="5" spans="2:13" x14ac:dyDescent="0.3">
      <c r="B5"/>
      <c r="C5"/>
      <c r="D5" s="40"/>
      <c r="E5" s="40"/>
      <c r="F5" s="40"/>
      <c r="G5" s="40"/>
      <c r="H5" s="40"/>
      <c r="I5"/>
      <c r="J5"/>
      <c r="K5"/>
      <c r="L5"/>
      <c r="M5"/>
    </row>
    <row r="7" spans="2:13" ht="22.5" customHeight="1" x14ac:dyDescent="0.3">
      <c r="E7" s="22" t="s">
        <v>55</v>
      </c>
      <c r="F7" s="22" t="s">
        <v>49</v>
      </c>
      <c r="G7" s="22" t="s">
        <v>41</v>
      </c>
    </row>
    <row r="8" spans="2:13" ht="22.5" customHeight="1" x14ac:dyDescent="0.3">
      <c r="E8" s="22" t="s">
        <v>39</v>
      </c>
      <c r="F8" s="22" t="s">
        <v>43</v>
      </c>
      <c r="G8" s="22" t="s">
        <v>41</v>
      </c>
    </row>
    <row r="9" spans="2:13" ht="22.5" customHeight="1" x14ac:dyDescent="0.3">
      <c r="E9" s="22" t="s">
        <v>40</v>
      </c>
      <c r="F9" s="22" t="s">
        <v>40</v>
      </c>
      <c r="G9" s="22" t="s">
        <v>58</v>
      </c>
    </row>
    <row r="10" spans="2:13" ht="22.5" customHeight="1" x14ac:dyDescent="0.3">
      <c r="B10" s="26" t="s">
        <v>49</v>
      </c>
      <c r="C10" s="26" t="s">
        <v>55</v>
      </c>
      <c r="D10" s="26" t="s">
        <v>39</v>
      </c>
      <c r="E10" s="24" t="s">
        <v>53</v>
      </c>
      <c r="F10" s="24" t="s">
        <v>53</v>
      </c>
      <c r="G10" s="24" t="s">
        <v>45</v>
      </c>
      <c r="H10" s="27" t="s">
        <v>61</v>
      </c>
      <c r="I10" s="27" t="s">
        <v>56</v>
      </c>
      <c r="J10" s="27" t="s">
        <v>60</v>
      </c>
      <c r="K10" s="28" t="s">
        <v>56</v>
      </c>
      <c r="L10" s="28" t="s">
        <v>48</v>
      </c>
      <c r="M10" s="28" t="s">
        <v>48</v>
      </c>
    </row>
    <row r="11" spans="2:13" ht="22.5" customHeight="1" x14ac:dyDescent="0.3">
      <c r="B11" s="26" t="s">
        <v>44</v>
      </c>
      <c r="C11" s="26" t="s">
        <v>45</v>
      </c>
      <c r="D11" s="26" t="s">
        <v>46</v>
      </c>
      <c r="E11" s="24" t="s">
        <v>47</v>
      </c>
      <c r="F11" s="24" t="s">
        <v>48</v>
      </c>
      <c r="G11" s="24" t="s">
        <v>42</v>
      </c>
      <c r="H11" s="27" t="s">
        <v>50</v>
      </c>
      <c r="I11" s="27" t="s">
        <v>50</v>
      </c>
      <c r="J11" s="27" t="s">
        <v>51</v>
      </c>
      <c r="K11" s="28" t="s">
        <v>52</v>
      </c>
      <c r="L11" s="28" t="s">
        <v>53</v>
      </c>
      <c r="M11" s="28" t="s">
        <v>54</v>
      </c>
    </row>
    <row r="12" spans="2:13" ht="22.5" customHeight="1" x14ac:dyDescent="0.3">
      <c r="B12" s="26" t="s">
        <v>42</v>
      </c>
      <c r="C12" s="26" t="s">
        <v>45</v>
      </c>
      <c r="D12" s="26" t="s">
        <v>63</v>
      </c>
      <c r="E12" s="24" t="s">
        <v>59</v>
      </c>
      <c r="F12" s="24" t="s">
        <v>58</v>
      </c>
      <c r="G12" s="24" t="s">
        <v>52</v>
      </c>
      <c r="H12" s="27" t="s">
        <v>51</v>
      </c>
      <c r="I12" s="27" t="s">
        <v>57</v>
      </c>
      <c r="J12" s="27" t="s">
        <v>47</v>
      </c>
      <c r="K12" s="28" t="s">
        <v>46</v>
      </c>
      <c r="L12" s="28" t="s">
        <v>59</v>
      </c>
      <c r="M12" s="28" t="s">
        <v>57</v>
      </c>
    </row>
    <row r="13" spans="2:13" ht="22.5" customHeight="1" x14ac:dyDescent="0.3">
      <c r="B13" s="2"/>
      <c r="C13" s="2"/>
      <c r="D13" s="2"/>
      <c r="E13" s="25" t="s">
        <v>54</v>
      </c>
      <c r="F13" s="25" t="s">
        <v>60</v>
      </c>
      <c r="G13" s="25" t="s">
        <v>44</v>
      </c>
      <c r="K13" s="2"/>
      <c r="L13" s="2"/>
      <c r="M13" s="2"/>
    </row>
    <row r="14" spans="2:13" ht="22.5" customHeight="1" x14ac:dyDescent="0.3">
      <c r="E14" s="25" t="s">
        <v>61</v>
      </c>
      <c r="F14" s="25" t="s">
        <v>55</v>
      </c>
      <c r="G14" s="25" t="s">
        <v>62</v>
      </c>
    </row>
    <row r="15" spans="2:13" ht="22.5" customHeight="1" x14ac:dyDescent="0.3">
      <c r="E15" s="25" t="s">
        <v>62</v>
      </c>
      <c r="F15" s="25" t="s">
        <v>63</v>
      </c>
      <c r="G15" s="25" t="s">
        <v>50</v>
      </c>
    </row>
  </sheetData>
  <mergeCells count="1">
    <mergeCell ref="D2:H5"/>
  </mergeCells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使用说明</vt:lpstr>
      <vt:lpstr>功能介绍</vt:lpstr>
      <vt:lpstr>编码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Administrator</cp:lastModifiedBy>
  <dcterms:created xsi:type="dcterms:W3CDTF">2015-06-05T18:19:34Z</dcterms:created>
  <dcterms:modified xsi:type="dcterms:W3CDTF">2020-05-03T07:50:16Z</dcterms:modified>
</cp:coreProperties>
</file>